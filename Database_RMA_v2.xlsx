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 RMA" sheetId="1" r:id="rId4"/>
    <sheet state="visible" name="Modulo RMA" sheetId="2" r:id="rId5"/>
    <sheet state="visible" name="Etichetta RMA" sheetId="3" r:id="rId6"/>
    <sheet state="visible" name="Statistiche" sheetId="4" r:id="rId7"/>
  </sheets>
  <definedNames/>
  <calcPr/>
</workbook>
</file>

<file path=xl/sharedStrings.xml><?xml version="1.0" encoding="utf-8"?>
<sst xmlns="http://schemas.openxmlformats.org/spreadsheetml/2006/main" count="201" uniqueCount="155">
  <si>
    <t>🔄  DATABASE RMA — Gestione Return Merchandise Authorization</t>
  </si>
  <si>
    <t>Aggiornato al 26/05/2026  •  Modifica i dati qui, i fogli Modulo ed Etichetta si aggiornano automaticamente</t>
  </si>
  <si>
    <t>N° RMA</t>
  </si>
  <si>
    <t>Data Apertura</t>
  </si>
  <si>
    <t>ID Cliente</t>
  </si>
  <si>
    <t>Cliente</t>
  </si>
  <si>
    <t>ID Prodotto</t>
  </si>
  <si>
    <t>Prodotto</t>
  </si>
  <si>
    <t>Famiglia Prodotto</t>
  </si>
  <si>
    <t>Sottofamiglia Prodotto</t>
  </si>
  <si>
    <t>Gruppo Prodotto</t>
  </si>
  <si>
    <t>Sottogruppo Prodotto</t>
  </si>
  <si>
    <t>S/N o Lotto</t>
  </si>
  <si>
    <t>Difetto Segnalato</t>
  </si>
  <si>
    <t>Tipo Richiesta</t>
  </si>
  <si>
    <t>Priorità</t>
  </si>
  <si>
    <t>Stato</t>
  </si>
  <si>
    <t>Data Chiusura</t>
  </si>
  <si>
    <t>Esito</t>
  </si>
  <si>
    <t>Tecnico</t>
  </si>
  <si>
    <t>Note</t>
  </si>
  <si>
    <t>RMA-2026-001</t>
  </si>
  <si>
    <t>2026-01-10</t>
  </si>
  <si>
    <t>CLI001</t>
  </si>
  <si>
    <t>Rossi Elettronica Srl</t>
  </si>
  <si>
    <t>PRD001</t>
  </si>
  <si>
    <t>Notebook Dell XPS 15</t>
  </si>
  <si>
    <t>Hardware</t>
  </si>
  <si>
    <t>Computer Portatili</t>
  </si>
  <si>
    <t>Notebook Premium</t>
  </si>
  <si>
    <t>Business Line</t>
  </si>
  <si>
    <t>SN123456</t>
  </si>
  <si>
    <t>Schermo non si accende</t>
  </si>
  <si>
    <t>Garanzia</t>
  </si>
  <si>
    <t>Alta</t>
  </si>
  <si>
    <t>In riparazione</t>
  </si>
  <si>
    <t>In attesa esito</t>
  </si>
  <si>
    <t>Mario Tech</t>
  </si>
  <si>
    <t>Verificare GPU</t>
  </si>
  <si>
    <t>RMA-2026-002</t>
  </si>
  <si>
    <t>2026-01-15</t>
  </si>
  <si>
    <t>CLI002</t>
  </si>
  <si>
    <t>Bianchi Mario</t>
  </si>
  <si>
    <t>PRD003</t>
  </si>
  <si>
    <t>Mouse Logitech MX Master 3</t>
  </si>
  <si>
    <t>Display</t>
  </si>
  <si>
    <t>Monitor 4K</t>
  </si>
  <si>
    <t>Professional</t>
  </si>
  <si>
    <t>SN789012</t>
  </si>
  <si>
    <t>Scroll non funziona</t>
  </si>
  <si>
    <t>Sostituzione</t>
  </si>
  <si>
    <t>Normale</t>
  </si>
  <si>
    <t>Chiuso</t>
  </si>
  <si>
    <t>2026-01-20</t>
  </si>
  <si>
    <t>Sostituito</t>
  </si>
  <si>
    <t>Anna Service</t>
  </si>
  <si>
    <t>RMA-2026-003</t>
  </si>
  <si>
    <t>2026-02-03</t>
  </si>
  <si>
    <t>CLI003</t>
  </si>
  <si>
    <t>Tech Solutions SpA</t>
  </si>
  <si>
    <t>PRD002</t>
  </si>
  <si>
    <t>Monitor LG 27" 4K</t>
  </si>
  <si>
    <t>Periferiche</t>
  </si>
  <si>
    <t>Input Devices</t>
  </si>
  <si>
    <t>Mouse</t>
  </si>
  <si>
    <t>Wireless Pro</t>
  </si>
  <si>
    <t>SN345678</t>
  </si>
  <si>
    <t>Pixel morti</t>
  </si>
  <si>
    <t>Aperto</t>
  </si>
  <si>
    <t>Da valutare</t>
  </si>
  <si>
    <t>Urgente</t>
  </si>
  <si>
    <t>RMA-2026-004</t>
  </si>
  <si>
    <t>2026-03-01</t>
  </si>
  <si>
    <t>PRD004</t>
  </si>
  <si>
    <t>Stampante HP LaserJet</t>
  </si>
  <si>
    <t>Stampa</t>
  </si>
  <si>
    <t>Laser</t>
  </si>
  <si>
    <t>Ufficio</t>
  </si>
  <si>
    <t>SN901234</t>
  </si>
  <si>
    <t>Inceppamento carta</t>
  </si>
  <si>
    <t>Riparazione a pagamento</t>
  </si>
  <si>
    <t>Bassa</t>
  </si>
  <si>
    <t>In attesa parti</t>
  </si>
  <si>
    <t>Luca Fix</t>
  </si>
  <si>
    <t>ISTRUZIONI: Inserisci nuove righe dal riga 5 in giù • Il Modulo e l'Etichetta si aggiornano scegliendo il N° RMA nel foglio corrispondente</t>
  </si>
  <si>
    <t>SELEZIONA N° RMA → cella gialla  |  Il modulo si compila automaticamente dal Database</t>
  </si>
  <si>
    <t>N° RMA da stampare:</t>
  </si>
  <si>
    <t>TECHSERVICE SRL
Via dell'Industria 42
20100 Milano (MI)
Tel: 02-1234567</t>
  </si>
  <si>
    <t>MODULO RMA
Return Merchandise Authorization</t>
  </si>
  <si>
    <t>N° RMA:</t>
  </si>
  <si>
    <t xml:space="preserve">  📋  DATI CLIENTE</t>
  </si>
  <si>
    <t>Cliente / Ragione Sociale</t>
  </si>
  <si>
    <t>Riferimento</t>
  </si>
  <si>
    <t>Email/Tel</t>
  </si>
  <si>
    <t xml:space="preserve">  📦  DATI PRODOTTO</t>
  </si>
  <si>
    <t>Descrizione Prodotto</t>
  </si>
  <si>
    <t>Stato Prodotto</t>
  </si>
  <si>
    <t>Famiglia Prodotto:</t>
  </si>
  <si>
    <t>Sottofamiglia:</t>
  </si>
  <si>
    <t>Gruppo Prodotto:</t>
  </si>
  <si>
    <t xml:space="preserve">  🔄  DETTAGLIO RMA</t>
  </si>
  <si>
    <t>Tecnico Ass.</t>
  </si>
  <si>
    <t>Difetto Segnalato:</t>
  </si>
  <si>
    <t>Note Aggiuntive:</t>
  </si>
  <si>
    <t xml:space="preserve">  ✅  ESITO INTERVENTO</t>
  </si>
  <si>
    <t>Esito Finale</t>
  </si>
  <si>
    <t xml:space="preserve">  ✍️  FIRME E AUTORIZZAZIONI</t>
  </si>
  <si>
    <t>Firma Cliente:</t>
  </si>
  <si>
    <t>Firma Tecnico/Ufficio:</t>
  </si>
  <si>
    <t>Data: 26/05/2026</t>
  </si>
  <si>
    <t>TechService Srl  •  Via dell'Industria 42, 20100 Milano  •  Tel 02-1234567  •  rma@techservice.it  •  www.techservice.it</t>
  </si>
  <si>
    <t>SELEZIONA N° RMA → cella gialla  |  L'etichetta si aggiorna automaticamente</t>
  </si>
  <si>
    <t>TECHSERVICE SRL</t>
  </si>
  <si>
    <t>MODULO RMA</t>
  </si>
  <si>
    <t>QR CODE
(generato
dall'app HTML)</t>
  </si>
  <si>
    <t>CLIENTE</t>
  </si>
  <si>
    <t>PRODOTTO</t>
  </si>
  <si>
    <t>S/N o LOTTO</t>
  </si>
  <si>
    <t>TIPO RICHIESTA</t>
  </si>
  <si>
    <t>FAMIGLIA / GRUPPO</t>
  </si>
  <si>
    <t>PRIORITÀ</t>
  </si>
  <si>
    <t>TECNICO ASSEGNATO</t>
  </si>
  <si>
    <t>DATA APERTURA</t>
  </si>
  <si>
    <t>STATO</t>
  </si>
  <si>
    <t>TechService Srl  •  Via dell'Industria 42, 20100 Milano  •  Tel 02-1234567  •  rma@techservice.it</t>
  </si>
  <si>
    <t>Per stampare: File → Stampa → Selezione area di stampa  |  Usa l'app HTML allegata per l'etichetta con QR code dinamico</t>
  </si>
  <si>
    <t>📊  STATISTICHE RMA — Analisi Prodotti Difettosi</t>
  </si>
  <si>
    <t>Dati calcolati automaticamente dal Database RMA  •  Aggiornato al 26/05/2026</t>
  </si>
  <si>
    <t>TOTALE RMA</t>
  </si>
  <si>
    <t>RMA APERTI</t>
  </si>
  <si>
    <t>RMA CHIUSI</t>
  </si>
  <si>
    <t>ALTA PRIORITÀ</t>
  </si>
  <si>
    <t>IN GARANZIA</t>
  </si>
  <si>
    <t>TASSO CHIUSURA %</t>
  </si>
  <si>
    <t>RMA per Prodotto</t>
  </si>
  <si>
    <t>RMA per Tipo Richiesta</t>
  </si>
  <si>
    <t>RMA per Stato</t>
  </si>
  <si>
    <t>Tot RMA</t>
  </si>
  <si>
    <t>Aperti</t>
  </si>
  <si>
    <t>Chiusi</t>
  </si>
  <si>
    <t>% Chiusura</t>
  </si>
  <si>
    <t>Tipo</t>
  </si>
  <si>
    <t>Quantità</t>
  </si>
  <si>
    <t>% sul Tot</t>
  </si>
  <si>
    <t>Stato prevalente</t>
  </si>
  <si>
    <t>Colore</t>
  </si>
  <si>
    <t>—</t>
  </si>
  <si>
    <t>●</t>
  </si>
  <si>
    <t>Rimborso</t>
  </si>
  <si>
    <t>TOTALE</t>
  </si>
  <si>
    <t>100%</t>
  </si>
  <si>
    <t>Annullato</t>
  </si>
  <si>
    <t>Analisi Difetti Segnalati (ultimi RMA)</t>
  </si>
  <si>
    <t>N°</t>
  </si>
  <si>
    <t>ℹ  Le statistiche si aggiornano automaticamente all'aggiunta di nuove righe nel foglio 'Database RMA'. Non modificare questo foglio.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</si>
</sst>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&quot;%&quot;"/>
  </numFmts>
  <fonts count="36">
    <font>
      <sz val="11.0"/>
      <color/>
      <name val="Arial"/>
      <scheme val="minor"/>
    </font>
    <font>
      <b/>
      <sz val="14.0"/>
      <color rgb="FFFFFFFF"/>
      <name val="Arial"/>
    </font>
    <font/>
    <font>
      <sz val="9.0"/>
      <color rgb="FFFFFFFF"/>
      <name val="Arial"/>
    </font>
    <font>
      <b/>
      <sz val="10.0"/>
      <color rgb="FFFFFFFF"/>
      <name val="Arial"/>
    </font>
    <font>
      <sz val="10.0"/>
      <color rgb="FF1A1A18"/>
      <name val="Arial"/>
    </font>
    <font>
      <sz val="10.0"/>
      <name val="Arial"/>
    </font>
    <font>
      <sz val="8.0"/>
      <color rgb="FF666666"/>
      <name val="Arial"/>
    </font>
    <font>
      <b/>
      <sz val="10.0"/>
      <color rgb="FF1A1A18"/>
      <name val="Arial"/>
    </font>
    <font>
      <b/>
      <sz val="11.0"/>
      <color rgb="FFD4380D"/>
      <name val="Arial"/>
    </font>
    <font>
      <b/>
      <sz val="14.0"/>
      <color rgb="FF2F4F8F"/>
      <name val="Arial"/>
    </font>
    <font>
      <b/>
      <sz val="10.0"/>
      <color rgb="FF2F4F8F"/>
      <name val="Arial"/>
    </font>
    <font>
      <b/>
      <sz val="16.0"/>
      <color rgb="FFD4380D"/>
      <name val="Arial"/>
    </font>
    <font>
      <b/>
      <sz val="9.0"/>
      <color rgb="FF1A1A18"/>
      <name val="Arial"/>
    </font>
    <font>
      <sz val="11.0"/>
      <color/>
      <name val="Calibri"/>
    </font>
    <font>
      <sz val="9.0"/>
      <color rgb="FF1A1A18"/>
      <name val="Arial"/>
    </font>
    <font>
      <sz val="8.0"/>
      <color rgb="FFFFFFFF"/>
      <name val="Arial"/>
    </font>
    <font>
      <b/>
      <sz val="13.0"/>
      <color rgb="FFFFFFFF"/>
      <name val="Arial"/>
    </font>
    <font>
      <b/>
      <sz val="18.0"/>
      <color rgb="FFD4380D"/>
      <name val="Arial"/>
    </font>
    <font>
      <b/>
      <sz val="9.0"/>
      <color rgb="FF2F4F8F"/>
      <name val="Arial"/>
    </font>
    <font>
      <sz val="8.0"/>
      <color rgb="FFAAAAAA"/>
      <name val="Arial"/>
    </font>
    <font>
      <b/>
      <sz val="8.0"/>
      <color rgb="FF1A1A18"/>
      <name val="Arial"/>
    </font>
    <font>
      <b/>
      <sz val="11.0"/>
      <color rgb="FF1A1A18"/>
      <name val="Arial"/>
    </font>
    <font>
      <b/>
      <sz val="9.0"/>
      <color rgb="FFFFFFFF"/>
      <name val="Arial"/>
    </font>
    <font>
      <b/>
      <sz val="22.0"/>
      <color rgb="FF2F4F8F"/>
      <name val="Arial"/>
    </font>
    <font>
      <b/>
      <sz val="22.0"/>
      <color rgb="FFD4380D"/>
      <name val="Arial"/>
    </font>
    <font>
      <b/>
      <sz val="22.0"/>
      <color rgb="FF237804"/>
      <name val="Arial"/>
    </font>
    <font>
      <b/>
      <sz val="22.0"/>
      <color rgb="FFFA8C16"/>
      <name val="Arial"/>
    </font>
    <font>
      <b/>
      <sz val="11.0"/>
      <color rgb="FFFFFFFF"/>
      <name val="Arial"/>
    </font>
    <font>
      <sz val="10.0"/>
      <color rgb="FFD4380D"/>
      <name val="Arial"/>
    </font>
    <font>
      <sz val="10.0"/>
      <color rgb="FF237804"/>
      <name val="Arial"/>
    </font>
    <font>
      <b/>
      <sz val="14.0"/>
      <color rgb="FFD4380D"/>
      <name val="Arial"/>
    </font>
    <font>
      <b/>
      <sz val="14.0"/>
      <color rgb="FFFA8C16"/>
      <name val="Arial"/>
    </font>
    <font>
      <b/>
      <sz val="14.0"/>
      <color rgb="FF7B61FF"/>
      <name val="Arial"/>
    </font>
    <font>
      <b/>
      <sz val="14.0"/>
      <color rgb="FF237804"/>
      <name val="Arial"/>
    </font>
    <font>
      <b/>
      <sz val="14.0"/>
      <color rgb="FF888888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A1A18"/>
        <bgColor rgb="FF1A1A18"/>
      </patternFill>
    </fill>
    <fill>
      <patternFill patternType="solid">
        <fgColor rgb="FF4A90D9"/>
        <bgColor rgb="FF4A90D9"/>
      </patternFill>
    </fill>
    <fill>
      <patternFill patternType="solid">
        <fgColor rgb="FF2F4F8F"/>
        <bgColor rgb="FF2F4F8F"/>
      </patternFill>
    </fill>
    <fill>
      <patternFill patternType="solid">
        <fgColor rgb="FFFA8C16"/>
        <bgColor rgb="FFFA8C16"/>
      </patternFill>
    </fill>
    <fill>
      <patternFill patternType="solid">
        <fgColor rgb="FFEBF2FF"/>
        <bgColor rgb="FFEBF2FF"/>
      </patternFill>
    </fill>
    <fill>
      <patternFill patternType="solid">
        <fgColor rgb="FFFFFFFF"/>
        <bgColor rgb="FFFFFFFF"/>
      </patternFill>
    </fill>
    <fill>
      <patternFill patternType="solid">
        <fgColor rgb="FFF5F5F3"/>
        <bgColor rgb="FFF5F5F3"/>
      </patternFill>
    </fill>
    <fill>
      <patternFill patternType="solid">
        <fgColor rgb="FFFFF3CD"/>
        <bgColor rgb="FFFFF3CD"/>
      </patternFill>
    </fill>
    <fill>
      <patternFill patternType="solid">
        <fgColor rgb="FFF0F0EE"/>
        <bgColor rgb="FFF0F0EE"/>
      </patternFill>
    </fill>
    <fill>
      <patternFill patternType="solid">
        <fgColor rgb="FFF8F8F8"/>
        <bgColor rgb="FFF8F8F8"/>
      </patternFill>
    </fill>
    <fill>
      <patternFill patternType="solid">
        <fgColor rgb="FFD4380D"/>
        <bgColor rgb="FFD4380D"/>
      </patternFill>
    </fill>
    <fill>
      <patternFill patternType="solid">
        <fgColor rgb="FF237804"/>
        <bgColor rgb="FF237804"/>
      </patternFill>
    </fill>
  </fills>
  <borders count="23">
    <border/>
    <border>
      <left style="thin">
        <color rgb="FFC0C0C0"/>
      </lef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medium">
        <color rgb="FF1A1A18"/>
      </left>
      <top style="medium">
        <color rgb="FF1A1A18"/>
      </top>
      <bottom style="medium">
        <color rgb="FF1A1A18"/>
      </bottom>
    </border>
    <border>
      <right style="medium">
        <color rgb="FF1A1A18"/>
      </right>
      <top style="medium">
        <color rgb="FF1A1A18"/>
      </top>
      <bottom style="medium">
        <color rgb="FF1A1A18"/>
      </bottom>
    </border>
    <border>
      <left style="thin">
        <color rgb="FFC0C0C0"/>
      </left>
      <top style="thin">
        <color rgb="FFC0C0C0"/>
      </top>
    </border>
    <border>
      <top style="thin">
        <color rgb="FFC0C0C0"/>
      </top>
    </border>
    <border>
      <right style="thin">
        <color rgb="FFC0C0C0"/>
      </right>
      <top style="thin">
        <color rgb="FFC0C0C0"/>
      </top>
    </border>
    <border>
      <left style="thin">
        <color rgb="FFC0C0C0"/>
      </left>
    </border>
    <border>
      <right style="thin">
        <color rgb="FFC0C0C0"/>
      </right>
    </border>
    <border>
      <left style="thin">
        <color rgb="FFC0C0C0"/>
      </left>
      <bottom style="thin">
        <color rgb="FFC0C0C0"/>
      </bottom>
    </border>
    <border>
      <bottom style="thin">
        <color rgb="FFC0C0C0"/>
      </bottom>
    </border>
    <border>
      <right style="thin">
        <color rgb="FFC0C0C0"/>
      </right>
      <bottom style="thin">
        <color rgb="FFC0C0C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0C0C0"/>
      </left>
      <right style="thin">
        <color rgb="FFC0C0C0"/>
      </right>
      <bottom style="thin">
        <color rgb="FFC0C0C0"/>
      </bottom>
    </border>
    <border>
      <left style="medium">
        <color rgb="FF1A1A18"/>
      </left>
      <top style="medium">
        <color rgb="FF1A1A18"/>
      </top>
    </border>
    <border>
      <right style="medium">
        <color rgb="FF1A1A18"/>
      </right>
      <top style="medium">
        <color rgb="FF1A1A18"/>
      </top>
    </border>
    <border>
      <left style="medium">
        <color rgb="FF1A1A18"/>
      </left>
      <bottom style="medium">
        <color rgb="FF1A1A18"/>
      </bottom>
    </border>
    <border>
      <right style="medium">
        <color rgb="FF1A1A18"/>
      </right>
      <bottom style="medium">
        <color rgb="FF1A1A18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left" vertical="center"/>
    </xf>
    <xf borderId="4" fillId="6" fontId="5" numFmtId="164" xfId="0" applyAlignment="1" applyBorder="1" applyFont="1" applyNumberFormat="1">
      <alignment horizontal="left" vertical="center"/>
    </xf>
    <xf borderId="4" fillId="6" fontId="6" numFmtId="0" xfId="0" applyAlignment="1" applyBorder="1" applyFont="1">
      <alignment horizontal="left" vertical="center"/>
    </xf>
    <xf borderId="4" fillId="7" fontId="5" numFmtId="0" xfId="0" applyAlignment="1" applyBorder="1" applyFill="1" applyFont="1">
      <alignment horizontal="left" vertical="center"/>
    </xf>
    <xf borderId="4" fillId="7" fontId="5" numFmtId="164" xfId="0" applyAlignment="1" applyBorder="1" applyFont="1" applyNumberFormat="1">
      <alignment horizontal="left" vertical="center"/>
    </xf>
    <xf borderId="4" fillId="7" fontId="6" numFmtId="0" xfId="0" applyAlignment="1" applyBorder="1" applyFont="1">
      <alignment horizontal="left" vertical="center"/>
    </xf>
    <xf borderId="4" fillId="8" fontId="7" numFmtId="0" xfId="0" applyAlignment="1" applyBorder="1" applyFill="1" applyFont="1">
      <alignment horizontal="left" vertical="center"/>
    </xf>
    <xf borderId="1" fillId="4" fontId="3" numFmtId="0" xfId="0" applyAlignment="1" applyBorder="1" applyFont="1">
      <alignment horizontal="left" vertical="center"/>
    </xf>
    <xf borderId="4" fillId="8" fontId="8" numFmtId="0" xfId="0" applyAlignment="1" applyBorder="1" applyFont="1">
      <alignment horizontal="left" vertical="center"/>
    </xf>
    <xf borderId="5" fillId="9" fontId="9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7" fontId="10" numFmtId="0" xfId="0" applyAlignment="1" applyBorder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7" fillId="2" fontId="1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" fillId="6" fontId="11" numFmtId="0" xfId="0" applyAlignment="1" applyBorder="1" applyFont="1">
      <alignment horizontal="left" vertical="center"/>
    </xf>
    <xf borderId="15" fillId="6" fontId="12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" fillId="4" fontId="4" numFmtId="0" xfId="0" applyAlignment="1" applyBorder="1" applyFont="1">
      <alignment horizontal="left" vertical="center"/>
    </xf>
    <xf borderId="1" fillId="8" fontId="13" numFmtId="0" xfId="0" applyAlignment="1" applyBorder="1" applyFont="1">
      <alignment horizontal="left" vertical="center"/>
    </xf>
    <xf borderId="1" fillId="7" fontId="5" numFmtId="0" xfId="0" applyAlignment="1" applyBorder="1" applyFont="1">
      <alignment horizontal="left" vertical="center"/>
    </xf>
    <xf borderId="4" fillId="8" fontId="13" numFmtId="0" xfId="0" applyAlignment="1" applyBorder="1" applyFont="1">
      <alignment horizontal="left" vertical="center"/>
    </xf>
    <xf borderId="1" fillId="10" fontId="13" numFmtId="0" xfId="0" applyAlignment="1" applyBorder="1" applyFill="1" applyFont="1">
      <alignment horizontal="left" vertical="center"/>
    </xf>
    <xf borderId="4" fillId="10" fontId="13" numFmtId="0" xfId="0" applyAlignment="1" applyBorder="1" applyFont="1">
      <alignment horizontal="left" vertical="center"/>
    </xf>
    <xf borderId="2" fillId="0" fontId="14" numFmtId="0" xfId="0" applyBorder="1" applyFont="1"/>
    <xf borderId="3" fillId="0" fontId="14" numFmtId="0" xfId="0" applyBorder="1" applyFont="1"/>
    <xf borderId="1" fillId="7" fontId="5" numFmtId="0" xfId="0" applyAlignment="1" applyBorder="1" applyFont="1">
      <alignment horizontal="left" shrinkToFit="0" vertical="center" wrapText="1"/>
    </xf>
    <xf borderId="4" fillId="4" fontId="4" numFmtId="0" xfId="0" applyAlignment="1" applyBorder="1" applyFont="1">
      <alignment horizontal="left" vertical="center"/>
    </xf>
    <xf borderId="1" fillId="7" fontId="5" numFmtId="0" xfId="0" applyAlignment="1" applyBorder="1" applyFont="1">
      <alignment horizontal="center" vertical="center"/>
    </xf>
    <xf borderId="4" fillId="7" fontId="5" numFmtId="0" xfId="0" applyAlignment="1" applyBorder="1" applyFont="1">
      <alignment horizontal="center" vertical="center"/>
    </xf>
    <xf borderId="1" fillId="8" fontId="15" numFmtId="0" xfId="0" applyAlignment="1" applyBorder="1" applyFont="1">
      <alignment horizontal="left" vertical="center"/>
    </xf>
    <xf borderId="4" fillId="2" fontId="16" numFmtId="0" xfId="0" applyAlignment="1" applyBorder="1" applyFont="1">
      <alignment horizontal="center" vertical="center"/>
    </xf>
    <xf borderId="1" fillId="8" fontId="8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center" vertical="center"/>
    </xf>
    <xf borderId="7" fillId="2" fontId="17" numFmtId="0" xfId="0" applyAlignment="1" applyBorder="1" applyFont="1">
      <alignment horizontal="left" vertical="center"/>
    </xf>
    <xf borderId="7" fillId="2" fontId="18" numFmtId="0" xfId="0" applyAlignment="1" applyBorder="1" applyFont="1">
      <alignment horizontal="center" vertical="center"/>
    </xf>
    <xf borderId="1" fillId="6" fontId="19" numFmtId="0" xfId="0" applyAlignment="1" applyBorder="1" applyFont="1">
      <alignment horizontal="left" vertical="center"/>
    </xf>
    <xf borderId="1" fillId="6" fontId="18" numFmtId="0" xfId="0" applyAlignment="1" applyBorder="1" applyFont="1">
      <alignment horizontal="left" vertical="center"/>
    </xf>
    <xf borderId="1" fillId="11" fontId="20" numFmtId="0" xfId="0" applyAlignment="1" applyBorder="1" applyFill="1" applyFont="1">
      <alignment horizontal="center" vertical="center"/>
    </xf>
    <xf borderId="1" fillId="8" fontId="21" numFmtId="0" xfId="0" applyAlignment="1" applyBorder="1" applyFont="1">
      <alignment horizontal="left" vertical="center"/>
    </xf>
    <xf borderId="1" fillId="7" fontId="22" numFmtId="0" xfId="0" applyAlignment="1" applyBorder="1" applyFont="1">
      <alignment horizontal="left" vertical="center"/>
    </xf>
    <xf borderId="4" fillId="8" fontId="21" numFmtId="0" xfId="0" applyAlignment="1" applyBorder="1" applyFont="1">
      <alignment horizontal="left" vertical="center"/>
    </xf>
    <xf borderId="4" fillId="7" fontId="22" numFmtId="0" xfId="0" applyAlignment="1" applyBorder="1" applyFont="1">
      <alignment horizontal="left" vertical="center"/>
    </xf>
    <xf borderId="1" fillId="5" fontId="21" numFmtId="0" xfId="0" applyAlignment="1" applyBorder="1" applyFont="1">
      <alignment horizontal="left" vertical="center"/>
    </xf>
    <xf borderId="1" fillId="7" fontId="8" numFmtId="0" xfId="0" applyAlignment="1" applyBorder="1" applyFont="1">
      <alignment horizontal="left" vertical="center"/>
    </xf>
    <xf borderId="4" fillId="7" fontId="8" numFmtId="0" xfId="0" applyAlignment="1" applyBorder="1" applyFont="1">
      <alignment horizontal="left" vertical="center"/>
    </xf>
    <xf borderId="18" fillId="0" fontId="14" numFmtId="0" xfId="0" applyBorder="1" applyFont="1"/>
    <xf borderId="14" fillId="0" fontId="14" numFmtId="0" xfId="0" applyBorder="1" applyFont="1"/>
    <xf borderId="1" fillId="2" fontId="16" numFmtId="0" xfId="0" applyAlignment="1" applyBorder="1" applyFont="1">
      <alignment horizontal="center" vertical="center"/>
    </xf>
    <xf borderId="1" fillId="4" fontId="23" numFmtId="0" xfId="0" applyAlignment="1" applyBorder="1" applyFont="1">
      <alignment horizontal="center" vertical="center"/>
    </xf>
    <xf borderId="1" fillId="12" fontId="23" numFmtId="0" xfId="0" applyAlignment="1" applyBorder="1" applyFill="1" applyFont="1">
      <alignment horizontal="center" vertical="center"/>
    </xf>
    <xf borderId="1" fillId="13" fontId="23" numFmtId="0" xfId="0" applyAlignment="1" applyBorder="1" applyFill="1" applyFont="1">
      <alignment horizontal="center" vertical="center"/>
    </xf>
    <xf borderId="1" fillId="5" fontId="23" numFmtId="0" xfId="0" applyAlignment="1" applyBorder="1" applyFont="1">
      <alignment horizontal="center" vertical="center"/>
    </xf>
    <xf borderId="19" fillId="7" fontId="24" numFmtId="0" xfId="0" applyAlignment="1" applyBorder="1" applyFont="1">
      <alignment horizontal="center" vertical="center"/>
    </xf>
    <xf borderId="20" fillId="0" fontId="2" numFmtId="0" xfId="0" applyBorder="1" applyFont="1"/>
    <xf borderId="19" fillId="7" fontId="25" numFmtId="0" xfId="0" applyAlignment="1" applyBorder="1" applyFont="1">
      <alignment horizontal="center" vertical="center"/>
    </xf>
    <xf borderId="19" fillId="7" fontId="26" numFmtId="0" xfId="0" applyAlignment="1" applyBorder="1" applyFont="1">
      <alignment horizontal="center" vertical="center"/>
    </xf>
    <xf borderId="19" fillId="7" fontId="27" numFmtId="0" xfId="0" applyAlignment="1" applyBorder="1" applyFont="1">
      <alignment horizontal="center" vertical="center"/>
    </xf>
    <xf borderId="19" fillId="7" fontId="26" numFmtId="165" xfId="0" applyAlignment="1" applyBorder="1" applyFont="1" applyNumberFormat="1">
      <alignment horizontal="center" vertical="center"/>
    </xf>
    <xf borderId="21" fillId="0" fontId="2" numFmtId="0" xfId="0" applyBorder="1" applyFont="1"/>
    <xf borderId="22" fillId="0" fontId="2" numFmtId="0" xfId="0" applyBorder="1" applyFont="1"/>
    <xf borderId="1" fillId="4" fontId="28" numFmtId="0" xfId="0" applyAlignment="1" applyBorder="1" applyFont="1">
      <alignment horizontal="center" vertical="center"/>
    </xf>
    <xf borderId="4" fillId="3" fontId="23" numFmtId="0" xfId="0" applyAlignment="1" applyBorder="1" applyFont="1">
      <alignment horizontal="center" vertical="center"/>
    </xf>
    <xf borderId="4" fillId="6" fontId="15" numFmtId="0" xfId="0" applyAlignment="1" applyBorder="1" applyFont="1">
      <alignment horizontal="left" vertical="center"/>
    </xf>
    <xf borderId="4" fillId="6" fontId="8" numFmtId="0" xfId="0" applyAlignment="1" applyBorder="1" applyFont="1">
      <alignment horizontal="center" vertical="center"/>
    </xf>
    <xf borderId="4" fillId="6" fontId="29" numFmtId="0" xfId="0" applyAlignment="1" applyBorder="1" applyFont="1">
      <alignment horizontal="center" vertical="center"/>
    </xf>
    <xf borderId="4" fillId="6" fontId="30" numFmtId="0" xfId="0" applyAlignment="1" applyBorder="1" applyFont="1">
      <alignment horizontal="center" vertical="center"/>
    </xf>
    <xf borderId="4" fillId="6" fontId="5" numFmtId="165" xfId="0" applyAlignment="1" applyBorder="1" applyFont="1" applyNumberFormat="1">
      <alignment horizontal="center" vertical="center"/>
    </xf>
    <xf borderId="4" fillId="6" fontId="15" numFmtId="0" xfId="0" applyAlignment="1" applyBorder="1" applyFont="1">
      <alignment horizontal="center" vertical="center"/>
    </xf>
    <xf borderId="4" fillId="6" fontId="31" numFmtId="0" xfId="0" applyAlignment="1" applyBorder="1" applyFont="1">
      <alignment horizontal="center" vertical="center"/>
    </xf>
    <xf borderId="4" fillId="7" fontId="15" numFmtId="0" xfId="0" applyAlignment="1" applyBorder="1" applyFont="1">
      <alignment horizontal="left" vertical="center"/>
    </xf>
    <xf borderId="4" fillId="7" fontId="8" numFmtId="0" xfId="0" applyAlignment="1" applyBorder="1" applyFont="1">
      <alignment horizontal="center" vertical="center"/>
    </xf>
    <xf borderId="4" fillId="7" fontId="29" numFmtId="0" xfId="0" applyAlignment="1" applyBorder="1" applyFont="1">
      <alignment horizontal="center" vertical="center"/>
    </xf>
    <xf borderId="4" fillId="7" fontId="30" numFmtId="0" xfId="0" applyAlignment="1" applyBorder="1" applyFont="1">
      <alignment horizontal="center" vertical="center"/>
    </xf>
    <xf borderId="4" fillId="7" fontId="5" numFmtId="165" xfId="0" applyAlignment="1" applyBorder="1" applyFont="1" applyNumberFormat="1">
      <alignment horizontal="center" vertical="center"/>
    </xf>
    <xf borderId="4" fillId="7" fontId="15" numFmtId="0" xfId="0" applyAlignment="1" applyBorder="1" applyFont="1">
      <alignment horizontal="center" vertical="center"/>
    </xf>
    <xf borderId="4" fillId="7" fontId="32" numFmtId="0" xfId="0" applyAlignment="1" applyBorder="1" applyFont="1">
      <alignment horizontal="center" vertical="center"/>
    </xf>
    <xf borderId="4" fillId="6" fontId="33" numFmtId="0" xfId="0" applyAlignment="1" applyBorder="1" applyFont="1">
      <alignment horizontal="center" vertical="center"/>
    </xf>
    <xf borderId="4" fillId="7" fontId="34" numFmtId="0" xfId="0" applyAlignment="1" applyBorder="1" applyFont="1">
      <alignment horizontal="center" vertical="center"/>
    </xf>
    <xf borderId="4" fillId="8" fontId="8" numFmtId="0" xfId="0" applyAlignment="1" applyBorder="1" applyFont="1">
      <alignment horizontal="center" vertical="center"/>
    </xf>
    <xf borderId="4" fillId="8" fontId="8" numFmtId="165" xfId="0" applyAlignment="1" applyBorder="1" applyFont="1" applyNumberFormat="1">
      <alignment horizontal="center" vertical="center"/>
    </xf>
    <xf borderId="4" fillId="8" fontId="5" numFmtId="0" xfId="0" applyAlignment="1" applyBorder="1" applyFont="1">
      <alignment horizontal="center" vertical="center"/>
    </xf>
    <xf borderId="4" fillId="6" fontId="35" numFmtId="0" xfId="0" applyAlignment="1" applyBorder="1" applyFont="1">
      <alignment horizontal="center" vertical="center"/>
    </xf>
    <xf borderId="1" fillId="8" fontId="7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RMA per Prodotto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Statistiche!$C$9</c:f>
            </c:strRef>
          </c:tx>
          <c:spPr>
            <a:solidFill>
              <a:srgbClr val="2F4F8F"/>
            </a:solidFill>
            <a:ln cmpd="sng">
              <a:solidFill>
                <a:srgbClr val="000000"/>
              </a:solidFill>
            </a:ln>
          </c:spPr>
          <c:cat>
            <c:strRef>
              <c:f>Statistiche!$B$10:$B$13</c:f>
            </c:strRef>
          </c:cat>
          <c:val>
            <c:numRef>
              <c:f>Statistiche!$C$10:$C$13</c:f>
              <c:numCache/>
            </c:numRef>
          </c:val>
        </c:ser>
        <c:ser>
          <c:idx val="1"/>
          <c:order val="1"/>
          <c:tx>
            <c:strRef>
              <c:f>Statistiche!$D$9</c:f>
            </c:strRef>
          </c:tx>
          <c:spPr>
            <a:solidFill>
              <a:srgbClr val="D4380D"/>
            </a:solidFill>
            <a:ln cmpd="sng">
              <a:solidFill>
                <a:srgbClr val="000000"/>
              </a:solidFill>
            </a:ln>
          </c:spPr>
          <c:cat>
            <c:strRef>
              <c:f>Statistiche!$B$10:$B$13</c:f>
            </c:strRef>
          </c:cat>
          <c:val>
            <c:numRef>
              <c:f>Statistiche!$D$10:$D$13</c:f>
              <c:numCache/>
            </c:numRef>
          </c:val>
        </c:ser>
        <c:ser>
          <c:idx val="2"/>
          <c:order val="2"/>
          <c:tx>
            <c:strRef>
              <c:f>Statistiche!$E$9</c:f>
            </c:strRef>
          </c:tx>
          <c:spPr>
            <a:solidFill>
              <a:srgbClr val="237804"/>
            </a:solidFill>
            <a:ln cmpd="sng">
              <a:solidFill>
                <a:srgbClr val="000000"/>
              </a:solidFill>
            </a:ln>
          </c:spPr>
          <c:cat>
            <c:strRef>
              <c:f>Statistiche!$B$10:$B$13</c:f>
            </c:strRef>
          </c:cat>
          <c:val>
            <c:numRef>
              <c:f>Statistiche!$E$10:$E$13</c:f>
              <c:numCache/>
            </c:numRef>
          </c:val>
        </c:ser>
        <c:axId val="399865289"/>
        <c:axId val="873583133"/>
      </c:barChart>
      <c:catAx>
        <c:axId val="3998652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Prodotto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3583133"/>
      </c:catAx>
      <c:valAx>
        <c:axId val="8735831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Numero RMA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98652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Distribuzione per Stato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Statistiche!$N$9</c:f>
            </c:strRef>
          </c:tx>
          <c:dPt>
            <c:idx val="0"/>
            <c:spPr>
              <a:solidFill>
                <a:srgbClr val="D4380D"/>
              </a:solidFill>
            </c:spPr>
          </c:dPt>
          <c:dPt>
            <c:idx val="1"/>
            <c:spPr>
              <a:solidFill>
                <a:srgbClr val="FA8C16"/>
              </a:solidFill>
            </c:spPr>
          </c:dPt>
          <c:dPt>
            <c:idx val="2"/>
            <c:spPr>
              <a:solidFill>
                <a:srgbClr val="7B61FF"/>
              </a:solidFill>
            </c:spPr>
          </c:dPt>
          <c:dPt>
            <c:idx val="3"/>
            <c:spPr>
              <a:solidFill>
                <a:srgbClr val="237804"/>
              </a:solidFill>
            </c:spPr>
          </c:dPt>
          <c:dPt>
            <c:idx val="4"/>
            <c:spPr>
              <a:solidFill>
                <a:srgbClr val="88888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Statistiche!$M$10:$M$14</c:f>
            </c:strRef>
          </c:cat>
          <c:val>
            <c:numRef>
              <c:f>Statistiche!$N$10:$N$14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17</xdr:row>
      <xdr:rowOff>0</xdr:rowOff>
    </xdr:from>
    <xdr:ext cx="5038725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0</xdr:colOff>
      <xdr:row>17</xdr:row>
      <xdr:rowOff>0</xdr:rowOff>
    </xdr:from>
    <xdr:ext cx="4314825" cy="3590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4F8F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4.0"/>
    <col customWidth="1" min="3" max="3" width="12.0"/>
    <col customWidth="1" min="4" max="4" width="24.0"/>
    <col customWidth="1" min="5" max="5" width="12.0"/>
    <col customWidth="1" min="6" max="6" width="26.0"/>
    <col customWidth="1" min="7" max="7" width="16.0"/>
    <col customWidth="1" min="8" max="8" width="20.0"/>
    <col customWidth="1" min="9" max="9" width="16.0"/>
    <col customWidth="1" min="10" max="11" width="18.0"/>
    <col customWidth="1" min="12" max="12" width="14.0"/>
    <col customWidth="1" min="13" max="14" width="18.0"/>
    <col customWidth="1" min="15" max="15" width="24.0"/>
    <col customWidth="1" min="16" max="19" width="8.71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ht="7.5" customHeight="1"/>
    <row r="4" ht="30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</row>
    <row r="5" ht="19.5" customHeight="1">
      <c r="A5" s="7" t="s">
        <v>21</v>
      </c>
      <c r="B5" s="8" t="s">
        <v>22</v>
      </c>
      <c r="C5" s="7" t="s">
        <v>23</v>
      </c>
      <c r="D5" s="7" t="s">
        <v>24</v>
      </c>
      <c r="E5" s="7" t="s">
        <v>25</v>
      </c>
      <c r="F5" s="7" t="s">
        <v>26</v>
      </c>
      <c r="G5" s="9" t="s">
        <v>27</v>
      </c>
      <c r="H5" s="9" t="s">
        <v>28</v>
      </c>
      <c r="I5" s="9" t="s">
        <v>29</v>
      </c>
      <c r="J5" s="9" t="s">
        <v>30</v>
      </c>
      <c r="K5" s="7" t="s">
        <v>31</v>
      </c>
      <c r="L5" s="7" t="s">
        <v>32</v>
      </c>
      <c r="M5" s="7" t="s">
        <v>33</v>
      </c>
      <c r="N5" s="7" t="s">
        <v>34</v>
      </c>
      <c r="O5" s="7" t="s">
        <v>35</v>
      </c>
      <c r="P5" s="8"/>
      <c r="Q5" s="7" t="s">
        <v>36</v>
      </c>
      <c r="R5" s="7" t="s">
        <v>37</v>
      </c>
      <c r="S5" s="7" t="s">
        <v>38</v>
      </c>
    </row>
    <row r="6" ht="19.5" customHeight="1">
      <c r="A6" s="10" t="s">
        <v>39</v>
      </c>
      <c r="B6" s="11" t="s">
        <v>40</v>
      </c>
      <c r="C6" s="10" t="s">
        <v>41</v>
      </c>
      <c r="D6" s="10" t="s">
        <v>42</v>
      </c>
      <c r="E6" s="10" t="s">
        <v>43</v>
      </c>
      <c r="F6" s="10" t="s">
        <v>44</v>
      </c>
      <c r="G6" s="12" t="s">
        <v>27</v>
      </c>
      <c r="H6" s="12" t="s">
        <v>45</v>
      </c>
      <c r="I6" s="12" t="s">
        <v>46</v>
      </c>
      <c r="J6" s="12" t="s">
        <v>47</v>
      </c>
      <c r="K6" s="10" t="s">
        <v>48</v>
      </c>
      <c r="L6" s="10" t="s">
        <v>49</v>
      </c>
      <c r="M6" s="10" t="s">
        <v>50</v>
      </c>
      <c r="N6" s="10" t="s">
        <v>51</v>
      </c>
      <c r="O6" s="10" t="s">
        <v>52</v>
      </c>
      <c r="P6" s="11" t="s">
        <v>53</v>
      </c>
      <c r="Q6" s="10" t="s">
        <v>54</v>
      </c>
      <c r="R6" s="10" t="s">
        <v>55</v>
      </c>
      <c r="S6" s="10"/>
    </row>
    <row r="7" ht="19.5" customHeight="1">
      <c r="A7" s="7" t="s">
        <v>56</v>
      </c>
      <c r="B7" s="8" t="s">
        <v>57</v>
      </c>
      <c r="C7" s="7" t="s">
        <v>58</v>
      </c>
      <c r="D7" s="7" t="s">
        <v>59</v>
      </c>
      <c r="E7" s="7" t="s">
        <v>60</v>
      </c>
      <c r="F7" s="7" t="s">
        <v>61</v>
      </c>
      <c r="G7" s="9" t="s">
        <v>62</v>
      </c>
      <c r="H7" s="9" t="s">
        <v>63</v>
      </c>
      <c r="I7" s="9" t="s">
        <v>64</v>
      </c>
      <c r="J7" s="9" t="s">
        <v>65</v>
      </c>
      <c r="K7" s="7" t="s">
        <v>66</v>
      </c>
      <c r="L7" s="7" t="s">
        <v>67</v>
      </c>
      <c r="M7" s="7" t="s">
        <v>33</v>
      </c>
      <c r="N7" s="7" t="s">
        <v>34</v>
      </c>
      <c r="O7" s="7" t="s">
        <v>68</v>
      </c>
      <c r="P7" s="8"/>
      <c r="Q7" s="7" t="s">
        <v>69</v>
      </c>
      <c r="R7" s="7"/>
      <c r="S7" s="7" t="s">
        <v>70</v>
      </c>
    </row>
    <row r="8" ht="19.5" customHeight="1">
      <c r="A8" s="10" t="s">
        <v>71</v>
      </c>
      <c r="B8" s="11" t="s">
        <v>72</v>
      </c>
      <c r="C8" s="10" t="s">
        <v>23</v>
      </c>
      <c r="D8" s="10" t="s">
        <v>24</v>
      </c>
      <c r="E8" s="10" t="s">
        <v>73</v>
      </c>
      <c r="F8" s="10" t="s">
        <v>74</v>
      </c>
      <c r="G8" s="12" t="s">
        <v>27</v>
      </c>
      <c r="H8" s="12" t="s">
        <v>75</v>
      </c>
      <c r="I8" s="12" t="s">
        <v>76</v>
      </c>
      <c r="J8" s="12" t="s">
        <v>77</v>
      </c>
      <c r="K8" s="10" t="s">
        <v>78</v>
      </c>
      <c r="L8" s="10" t="s">
        <v>79</v>
      </c>
      <c r="M8" s="10" t="s">
        <v>80</v>
      </c>
      <c r="N8" s="10" t="s">
        <v>81</v>
      </c>
      <c r="O8" s="10" t="s">
        <v>82</v>
      </c>
      <c r="P8" s="11"/>
      <c r="Q8" s="10"/>
      <c r="R8" s="10" t="s">
        <v>83</v>
      </c>
      <c r="S8" s="10"/>
    </row>
    <row r="10" ht="15.75" customHeight="1">
      <c r="A10" s="13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2:S2"/>
    <mergeCell ref="A1:S1"/>
  </mergeCells>
  <dataValidations>
    <dataValidation type="list" allowBlank="1" sqref="K5:K100">
      <formula1>"Aperto,In riparazione,In attesa parti,Chiuso,Annullato"</formula1>
    </dataValidation>
    <dataValidation type="list" allowBlank="1" sqref="J5:J100">
      <formula1>"Alta,Normale,Bassa"</formula1>
    </dataValidation>
    <dataValidation type="list" allowBlank="1" sqref="G5:G100">
      <formula1>"Hardware,Periferiche,Software,Consumabili,Accessori,Altro"</formula1>
    </dataValidation>
    <dataValidation type="list" allowBlank="1" sqref="I5:I100">
      <formula1>"Garanzia,Sostituzione,Rimborso,Riparazione a pagamento"</formula1>
    </dataValidation>
    <dataValidation type="list" allowBlank="1" sqref="M5:M100">
      <formula1>"Riparato,Sostituito,Rimborsato,Non riparabile,Rifiutato"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4380D"/>
    <pageSetUpPr fitToPage="1"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8.0"/>
    <col customWidth="1" min="3" max="3" width="4.0"/>
    <col customWidth="1" min="4" max="4" width="18.0"/>
    <col customWidth="1" min="5" max="5" width="4.0"/>
    <col customWidth="1" min="6" max="6" width="18.0"/>
    <col customWidth="1" min="7" max="7" width="4.0"/>
    <col customWidth="1" min="8" max="8" width="18.0"/>
    <col customWidth="1" min="9" max="11" width="8.71"/>
  </cols>
  <sheetData>
    <row r="1" ht="15.75" customHeight="1">
      <c r="A1" s="14" t="s">
        <v>85</v>
      </c>
      <c r="B1" s="2"/>
      <c r="C1" s="2"/>
      <c r="D1" s="2"/>
      <c r="E1" s="2"/>
      <c r="F1" s="2"/>
      <c r="G1" s="2"/>
      <c r="H1" s="3"/>
    </row>
    <row r="2" ht="21.75" customHeight="1">
      <c r="B2" s="15" t="s">
        <v>86</v>
      </c>
      <c r="D2" s="16" t="s">
        <v>21</v>
      </c>
      <c r="E2" s="17"/>
    </row>
    <row r="3" ht="6.0" customHeight="1"/>
    <row r="4" ht="21.75" customHeight="1">
      <c r="A4" s="18" t="s">
        <v>87</v>
      </c>
      <c r="B4" s="19"/>
      <c r="C4" s="19"/>
      <c r="D4" s="20"/>
      <c r="E4" s="21" t="s">
        <v>88</v>
      </c>
      <c r="F4" s="19"/>
      <c r="G4" s="19"/>
      <c r="H4" s="20"/>
    </row>
    <row r="5" ht="13.5" customHeight="1">
      <c r="A5" s="22"/>
      <c r="D5" s="23"/>
      <c r="E5" s="22"/>
      <c r="H5" s="23"/>
    </row>
    <row r="6" ht="13.5" customHeight="1">
      <c r="A6" s="22"/>
      <c r="D6" s="23"/>
      <c r="E6" s="22"/>
      <c r="H6" s="23"/>
    </row>
    <row r="7" ht="13.5" customHeight="1">
      <c r="A7" s="24"/>
      <c r="B7" s="25"/>
      <c r="C7" s="25"/>
      <c r="D7" s="26"/>
      <c r="E7" s="24"/>
      <c r="F7" s="25"/>
      <c r="G7" s="25"/>
      <c r="H7" s="26"/>
    </row>
    <row r="8" ht="25.5" customHeight="1">
      <c r="A8" s="27" t="s">
        <v>89</v>
      </c>
      <c r="B8" s="2"/>
      <c r="C8" s="2"/>
      <c r="D8" s="3"/>
      <c r="E8" s="28" t="str">
        <f>IFERROR(VLOOKUP(D2,'Database RMA'!$A$5:$S$1000,1,FALSE),"")</f>
        <v>RMA-2026-001</v>
      </c>
      <c r="F8" s="29"/>
      <c r="G8" s="29"/>
      <c r="H8" s="30"/>
    </row>
    <row r="9" ht="6.0" customHeight="1"/>
    <row r="10" ht="19.5" customHeight="1">
      <c r="A10" s="31" t="s">
        <v>90</v>
      </c>
      <c r="B10" s="2"/>
      <c r="C10" s="2"/>
      <c r="D10" s="2"/>
      <c r="E10" s="2"/>
      <c r="F10" s="2"/>
      <c r="G10" s="2"/>
      <c r="H10" s="3"/>
    </row>
    <row r="11" ht="19.5" customHeight="1">
      <c r="A11" s="32" t="s">
        <v>4</v>
      </c>
      <c r="B11" s="3"/>
      <c r="C11" s="33" t="str">
        <f>IFERROR(VLOOKUP(D2,'Database RMA'!$A$5:$S$1000,3,FALSE),"")</f>
        <v>CLI001</v>
      </c>
      <c r="D11" s="2"/>
      <c r="E11" s="3"/>
      <c r="F11" s="34" t="s">
        <v>91</v>
      </c>
      <c r="G11" s="33" t="str">
        <f>IFERROR(VLOOKUP(D2,'Database RMA'!$A$5:$S$1000,4,FALSE),"")</f>
        <v>Rossi Elettronica Srl</v>
      </c>
      <c r="H11" s="3"/>
    </row>
    <row r="12" ht="19.5" customHeight="1">
      <c r="A12" s="32" t="s">
        <v>92</v>
      </c>
      <c r="B12" s="3"/>
      <c r="C12" s="33" t="str">
        <f>""</f>
        <v/>
      </c>
      <c r="D12" s="2"/>
      <c r="E12" s="3"/>
      <c r="F12" s="34" t="s">
        <v>93</v>
      </c>
      <c r="G12" s="33" t="str">
        <f>""</f>
        <v/>
      </c>
      <c r="H12" s="3"/>
    </row>
    <row r="13" ht="4.5" customHeight="1"/>
    <row r="14" ht="19.5" customHeight="1">
      <c r="A14" s="31" t="s">
        <v>94</v>
      </c>
      <c r="B14" s="2"/>
      <c r="C14" s="2"/>
      <c r="D14" s="2"/>
      <c r="E14" s="2"/>
      <c r="F14" s="2"/>
      <c r="G14" s="2"/>
      <c r="H14" s="3"/>
    </row>
    <row r="15" ht="19.5" customHeight="1">
      <c r="A15" s="32" t="s">
        <v>6</v>
      </c>
      <c r="B15" s="3"/>
      <c r="C15" s="33" t="str">
        <f>IFERROR(VLOOKUP(D2,'Database RMA'!$A$5:$S$1000,5,FALSE),"")</f>
        <v>PRD001</v>
      </c>
      <c r="D15" s="2"/>
      <c r="E15" s="3"/>
      <c r="F15" s="34" t="s">
        <v>95</v>
      </c>
      <c r="G15" s="33" t="str">
        <f>IFERROR(VLOOKUP(D2,'Database RMA'!$A$5:$S$1000,6,FALSE),"")</f>
        <v>Notebook Dell XPS 15</v>
      </c>
      <c r="H15" s="3"/>
    </row>
    <row r="16" ht="19.5" customHeight="1">
      <c r="A16" s="32" t="s">
        <v>12</v>
      </c>
      <c r="B16" s="3"/>
      <c r="C16" s="33" t="str">
        <f>IFERROR(VLOOKUP(D2,'Database RMA'!$A$5:$S$1000,11,FALSE),"")</f>
        <v>SN123456</v>
      </c>
      <c r="D16" s="2"/>
      <c r="E16" s="3"/>
      <c r="F16" s="34" t="s">
        <v>96</v>
      </c>
      <c r="G16" s="33" t="str">
        <f>""</f>
        <v/>
      </c>
      <c r="H16" s="3"/>
    </row>
    <row r="17" ht="19.5" customHeight="1">
      <c r="A17" s="35" t="s">
        <v>97</v>
      </c>
      <c r="B17" s="3"/>
      <c r="C17" s="33" t="str">
        <f>IFERROR(VLOOKUP(D2,'Database RMA'!$A$5:$S$1000,7,FALSE),"")</f>
        <v>Hardware</v>
      </c>
      <c r="D17" s="2"/>
      <c r="E17" s="3"/>
      <c r="F17" s="36" t="s">
        <v>98</v>
      </c>
      <c r="G17" s="33" t="str">
        <f>IFERROR(VLOOKUP(D2,'Database RMA'!$A$5:$S$1000,8,FALSE),"")</f>
        <v>Computer Portatili</v>
      </c>
      <c r="H17" s="3"/>
    </row>
    <row r="18" ht="19.5" customHeight="1">
      <c r="A18" s="35" t="s">
        <v>99</v>
      </c>
      <c r="B18" s="2"/>
      <c r="C18" s="2"/>
      <c r="D18" s="2"/>
      <c r="E18" s="2"/>
      <c r="F18" s="2"/>
      <c r="G18" s="2"/>
      <c r="H18" s="3"/>
    </row>
    <row r="19" ht="19.5" customHeight="1"/>
    <row r="20" ht="19.5" customHeight="1">
      <c r="A20" s="31" t="s">
        <v>100</v>
      </c>
      <c r="B20" s="3"/>
      <c r="C20" s="37"/>
      <c r="D20" s="2"/>
      <c r="E20" s="2"/>
      <c r="F20" s="37"/>
      <c r="G20" s="37"/>
      <c r="H20" s="3"/>
    </row>
    <row r="21" ht="19.5" customHeight="1">
      <c r="A21" s="32" t="s">
        <v>3</v>
      </c>
      <c r="B21" s="3"/>
      <c r="C21" s="33" t="str">
        <f>IFERROR(VLOOKUP(D2,'Database RMA'!$A$5:$S$1000,2,FALSE),"")</f>
        <v>2026-01-10</v>
      </c>
      <c r="D21" s="2"/>
      <c r="E21" s="3"/>
      <c r="F21" s="34" t="s">
        <v>14</v>
      </c>
      <c r="G21" s="33" t="str">
        <f>IFERROR(VLOOKUP(D2,'Database RMA'!$A$5:$S$1000,13,FALSE),"")</f>
        <v>Garanzia</v>
      </c>
      <c r="H21" s="3"/>
    </row>
    <row r="22" ht="4.5" customHeight="1">
      <c r="A22" s="34" t="s">
        <v>15</v>
      </c>
      <c r="B22" s="38"/>
      <c r="C22" s="10" t="str">
        <f>IFERROR(VLOOKUP(D2,'Database RMA'!$A$5:$S$1000,14,FALSE),"")</f>
        <v>Alta</v>
      </c>
      <c r="D22" s="37"/>
      <c r="E22" s="38"/>
      <c r="F22" s="34" t="s">
        <v>16</v>
      </c>
      <c r="G22" s="10" t="str">
        <f>IFERROR(VLOOKUP(D2,'Database RMA'!$A$5:$S$1000,15,FALSE),"")</f>
        <v>In riparazione</v>
      </c>
      <c r="H22" s="38"/>
    </row>
    <row r="23" ht="18.0" customHeight="1">
      <c r="A23" s="32" t="s">
        <v>101</v>
      </c>
      <c r="B23" s="3"/>
      <c r="C23" s="33" t="str">
        <f>IFERROR(VLOOKUP(D2,'Database RMA'!$A$5:$S$1000,18,FALSE),"")</f>
        <v>Mario Tech</v>
      </c>
      <c r="D23" s="2"/>
      <c r="E23" s="2"/>
      <c r="F23" s="2"/>
      <c r="G23" s="2"/>
      <c r="H23" s="3"/>
    </row>
    <row r="24" ht="4.5" customHeight="1"/>
    <row r="25" ht="18.0" customHeight="1">
      <c r="A25" s="32" t="s">
        <v>102</v>
      </c>
      <c r="B25" s="3"/>
      <c r="C25" s="39" t="str">
        <f>IFERROR(VLOOKUP(D2,'Database RMA'!$A$5:$S$1000,12,FALSE),"")</f>
        <v>Schermo non si accende</v>
      </c>
      <c r="D25" s="2"/>
      <c r="E25" s="2"/>
      <c r="F25" s="2"/>
      <c r="G25" s="2"/>
      <c r="H25" s="3"/>
    </row>
    <row r="26" ht="4.5" customHeight="1"/>
    <row r="27" ht="19.5" customHeight="1">
      <c r="A27" s="32" t="s">
        <v>103</v>
      </c>
      <c r="B27" s="2"/>
      <c r="C27" s="2"/>
      <c r="D27" s="2"/>
      <c r="E27" s="2"/>
      <c r="F27" s="2"/>
      <c r="G27" s="2"/>
      <c r="H27" s="3"/>
    </row>
    <row r="28" ht="19.5" customHeight="1"/>
    <row r="29" ht="7.5" customHeight="1">
      <c r="A29" s="40" t="s">
        <v>104</v>
      </c>
      <c r="B29" s="37"/>
      <c r="C29" s="37"/>
      <c r="D29" s="37"/>
      <c r="E29" s="37"/>
      <c r="F29" s="37"/>
      <c r="G29" s="37"/>
      <c r="H29" s="38"/>
    </row>
    <row r="30" ht="19.5" customHeight="1">
      <c r="A30" s="32" t="s">
        <v>105</v>
      </c>
      <c r="B30" s="2"/>
      <c r="C30" s="2"/>
      <c r="D30" s="2"/>
      <c r="E30" s="2"/>
      <c r="F30" s="2"/>
      <c r="G30" s="2"/>
      <c r="H30" s="3"/>
    </row>
    <row r="31" ht="15.75" customHeight="1"/>
    <row r="32" ht="15.75" customHeight="1">
      <c r="A32" s="31" t="s">
        <v>106</v>
      </c>
      <c r="B32" s="2"/>
      <c r="C32" s="2"/>
      <c r="D32" s="3"/>
      <c r="E32" s="37"/>
      <c r="F32" s="2"/>
      <c r="G32" s="2"/>
      <c r="H32" s="3"/>
    </row>
    <row r="33" ht="15.75" customHeight="1">
      <c r="A33" s="32" t="s">
        <v>107</v>
      </c>
      <c r="B33" s="2"/>
      <c r="C33" s="2"/>
      <c r="D33" s="3"/>
      <c r="E33" s="32" t="s">
        <v>108</v>
      </c>
      <c r="F33" s="2"/>
      <c r="G33" s="2"/>
      <c r="H33" s="3"/>
    </row>
    <row r="34" ht="15.75" customHeight="1">
      <c r="A34" s="41"/>
      <c r="B34" s="2"/>
      <c r="C34" s="2"/>
      <c r="D34" s="3"/>
      <c r="E34" s="41"/>
      <c r="F34" s="2"/>
      <c r="G34" s="2"/>
      <c r="H34" s="3"/>
    </row>
    <row r="35" ht="15.75" customHeight="1">
      <c r="A35" s="41"/>
      <c r="B35" s="2"/>
      <c r="C35" s="2"/>
      <c r="D35" s="3"/>
      <c r="E35" s="41"/>
      <c r="F35" s="2"/>
      <c r="G35" s="2"/>
      <c r="H35" s="3"/>
    </row>
    <row r="36" ht="6.0" customHeight="1">
      <c r="A36" s="42"/>
      <c r="B36" s="37"/>
      <c r="C36" s="37"/>
      <c r="D36" s="38"/>
      <c r="E36" s="42"/>
      <c r="F36" s="37"/>
      <c r="G36" s="37"/>
      <c r="H36" s="38"/>
    </row>
    <row r="37" ht="13.5" customHeight="1">
      <c r="A37" s="43" t="s">
        <v>109</v>
      </c>
      <c r="B37" s="2"/>
      <c r="C37" s="2"/>
      <c r="D37" s="2"/>
      <c r="E37" s="2"/>
      <c r="F37" s="2"/>
      <c r="G37" s="2"/>
      <c r="H37" s="3"/>
    </row>
    <row r="38" ht="15.75" customHeight="1"/>
    <row r="39" ht="15.75" customHeight="1">
      <c r="A39" s="44" t="s">
        <v>110</v>
      </c>
      <c r="B39" s="37"/>
      <c r="C39" s="37"/>
      <c r="D39" s="37"/>
      <c r="E39" s="37"/>
      <c r="F39" s="37"/>
      <c r="G39" s="37"/>
      <c r="H39" s="3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2">
    <mergeCell ref="G15:H15"/>
    <mergeCell ref="A14:H14"/>
    <mergeCell ref="C15:E15"/>
    <mergeCell ref="G12:H12"/>
    <mergeCell ref="G16:H16"/>
    <mergeCell ref="C25:H25"/>
    <mergeCell ref="G11:H11"/>
    <mergeCell ref="C12:E12"/>
    <mergeCell ref="C11:E11"/>
    <mergeCell ref="A25:B25"/>
    <mergeCell ref="A27:H27"/>
    <mergeCell ref="A17:B17"/>
    <mergeCell ref="A20:B20"/>
    <mergeCell ref="C20:E20"/>
    <mergeCell ref="C23:H23"/>
    <mergeCell ref="A18:H18"/>
    <mergeCell ref="A21:B21"/>
    <mergeCell ref="C19:E19"/>
    <mergeCell ref="A23:B23"/>
    <mergeCell ref="G20:H20"/>
    <mergeCell ref="A19:B19"/>
    <mergeCell ref="A15:B15"/>
    <mergeCell ref="A11:B11"/>
    <mergeCell ref="A12:B12"/>
    <mergeCell ref="A8:D8"/>
    <mergeCell ref="A1:H1"/>
    <mergeCell ref="D2:E2"/>
    <mergeCell ref="E4:H7"/>
    <mergeCell ref="E8:H8"/>
    <mergeCell ref="A4:D7"/>
    <mergeCell ref="A10:H10"/>
    <mergeCell ref="G21:H21"/>
    <mergeCell ref="G17:H17"/>
    <mergeCell ref="G19:H19"/>
    <mergeCell ref="C16:E16"/>
    <mergeCell ref="A16:B16"/>
    <mergeCell ref="A35:D35"/>
    <mergeCell ref="A34:D34"/>
    <mergeCell ref="A37:H37"/>
    <mergeCell ref="E35:H35"/>
    <mergeCell ref="E34:H34"/>
    <mergeCell ref="C21:E21"/>
    <mergeCell ref="C17:E17"/>
    <mergeCell ref="A33:D33"/>
    <mergeCell ref="A32:D32"/>
    <mergeCell ref="A30:H30"/>
    <mergeCell ref="E32:H32"/>
    <mergeCell ref="A31:D31"/>
    <mergeCell ref="E33:H33"/>
    <mergeCell ref="C28:E28"/>
    <mergeCell ref="E31:H31"/>
    <mergeCell ref="A28:B28"/>
  </mergeCells>
  <dataValidations>
    <dataValidation type="list" allowBlank="1" sqref="D2">
      <formula1>'Database RMA'!$A$5:$A$1000</formula1>
    </dataValidation>
  </dataValidations>
  <printOptions/>
  <pageMargins bottom="0.5" footer="0.0" header="0.0" left="0.5" right="0.5" top="0.6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37804"/>
    <pageSetUpPr fitToPage="1"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6.0"/>
    <col customWidth="1" min="3" max="3" width="3.0"/>
    <col customWidth="1" min="4" max="4" width="16.0"/>
    <col customWidth="1" min="5" max="5" width="3.0"/>
    <col customWidth="1" min="6" max="6" width="16.0"/>
    <col customWidth="1" min="7" max="7" width="3.0"/>
    <col customWidth="1" min="8" max="8" width="16.0"/>
    <col customWidth="1" min="9" max="9" width="3.0"/>
    <col customWidth="1" min="10" max="10" width="16.0"/>
    <col customWidth="1" min="11" max="11" width="3.0"/>
    <col customWidth="1" min="12" max="12" width="12.0"/>
    <col customWidth="1" min="13" max="13" width="3.0"/>
  </cols>
  <sheetData>
    <row r="1" ht="15.75" customHeight="1">
      <c r="A1" s="14" t="s">
        <v>111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1.75" customHeight="1">
      <c r="B2" s="45" t="s">
        <v>86</v>
      </c>
      <c r="C2" s="3"/>
      <c r="D2" s="16" t="s">
        <v>21</v>
      </c>
      <c r="E2" s="17"/>
    </row>
    <row r="3" ht="7.5" customHeight="1"/>
    <row r="4" ht="7.5" customHeight="1">
      <c r="A4" s="4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ht="21.75" customHeight="1">
      <c r="A5" s="47" t="s">
        <v>112</v>
      </c>
      <c r="B5" s="19"/>
      <c r="C5" s="19"/>
      <c r="D5" s="19"/>
      <c r="E5" s="20"/>
      <c r="F5" s="48" t="s">
        <v>113</v>
      </c>
      <c r="G5" s="19"/>
      <c r="H5" s="19"/>
      <c r="I5" s="19"/>
      <c r="J5" s="19"/>
      <c r="K5" s="19"/>
      <c r="L5" s="19"/>
      <c r="M5" s="20"/>
    </row>
    <row r="6" ht="21.75" customHeight="1">
      <c r="A6" s="24"/>
      <c r="B6" s="25"/>
      <c r="C6" s="25"/>
      <c r="D6" s="25"/>
      <c r="E6" s="26"/>
      <c r="F6" s="24"/>
      <c r="G6" s="25"/>
      <c r="H6" s="25"/>
      <c r="I6" s="25"/>
      <c r="J6" s="25"/>
      <c r="K6" s="25"/>
      <c r="L6" s="25"/>
      <c r="M6" s="26"/>
    </row>
    <row r="7" ht="6.0" customHeight="1">
      <c r="A7" s="4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/>
    </row>
    <row r="8" ht="27.75" customHeight="1">
      <c r="A8" s="49" t="s">
        <v>2</v>
      </c>
      <c r="B8" s="3"/>
      <c r="C8" s="50" t="str">
        <f>IFERROR(VLOOKUP(D2,'Database RMA'!$A$5:$S$1000,1,FALSE),"")</f>
        <v>RMA-2026-001</v>
      </c>
      <c r="D8" s="2"/>
      <c r="E8" s="2"/>
      <c r="F8" s="2"/>
      <c r="G8" s="2"/>
      <c r="H8" s="2"/>
      <c r="I8" s="3"/>
      <c r="K8" s="51" t="s">
        <v>114</v>
      </c>
      <c r="L8" s="3"/>
    </row>
    <row r="9" ht="4.5" customHeight="1"/>
    <row r="10" ht="21.75" customHeight="1">
      <c r="A10" s="52" t="s">
        <v>115</v>
      </c>
      <c r="B10" s="3"/>
      <c r="C10" s="53" t="str">
        <f>IFERROR(VLOOKUP(D2,'Database RMA'!$A$5:$S$1000,4,FALSE),"")</f>
        <v>Rossi Elettronica Srl</v>
      </c>
      <c r="D10" s="2"/>
      <c r="E10" s="2"/>
      <c r="F10" s="2"/>
      <c r="G10" s="2"/>
      <c r="H10" s="2"/>
      <c r="I10" s="3"/>
    </row>
    <row r="11" ht="21.75" customHeight="1">
      <c r="A11" s="52" t="s">
        <v>116</v>
      </c>
      <c r="B11" s="3"/>
      <c r="C11" s="53" t="str">
        <f>IFERROR(VLOOKUP(D2,'Database RMA'!$A$5:$S$1000,6,FALSE),"")</f>
        <v>Notebook Dell XPS 15</v>
      </c>
      <c r="D11" s="2"/>
      <c r="E11" s="2"/>
      <c r="F11" s="2"/>
      <c r="G11" s="2"/>
      <c r="H11" s="2"/>
      <c r="I11" s="3"/>
    </row>
    <row r="12" ht="21.75" customHeight="1">
      <c r="A12" s="54" t="s">
        <v>117</v>
      </c>
      <c r="C12" s="55" t="str">
        <f>IFERROR(VLOOKUP(D2,'Database RMA'!$A$5:$S$1000,11,FALSE),"")</f>
        <v>SN123456</v>
      </c>
    </row>
    <row r="13" ht="21.75" customHeight="1">
      <c r="A13" s="54" t="s">
        <v>118</v>
      </c>
      <c r="C13" s="55" t="str">
        <f>IFERROR(VLOOKUP(D2,'Database RMA'!$A$5:$S$1000,13,FALSE),"")</f>
        <v>Garanzia</v>
      </c>
    </row>
    <row r="14" ht="19.5" customHeight="1">
      <c r="A14" s="56" t="s">
        <v>119</v>
      </c>
      <c r="B14" s="3"/>
      <c r="C14" s="57" t="str">
        <f>IFERROR(VLOOKUP(D2,'Database RMA'!$A$5:$S$1000,7,FALSE)&amp;" › "&amp;VLOOKUP(D2,'Database RMA'!$A$5:$S$1000,9,FALSE),"")</f>
        <v>Hardware › Notebook Premium</v>
      </c>
      <c r="D14" s="2"/>
      <c r="E14" s="2"/>
      <c r="F14" s="2"/>
      <c r="G14" s="2"/>
      <c r="H14" s="2"/>
      <c r="I14" s="3"/>
    </row>
    <row r="15" ht="21.75" customHeight="1">
      <c r="A15" s="52" t="s">
        <v>120</v>
      </c>
      <c r="B15" s="3"/>
      <c r="C15" s="53" t="str">
        <f>IFERROR(VLOOKUP(D2,'Database RMA'!$A$5:$S$1000,14,FALSE),"")</f>
        <v>Alta</v>
      </c>
      <c r="D15" s="2"/>
      <c r="E15" s="2"/>
      <c r="F15" s="2"/>
      <c r="G15" s="2"/>
      <c r="H15" s="2"/>
      <c r="I15" s="3"/>
    </row>
    <row r="16" ht="4.5" customHeight="1">
      <c r="A16" s="54" t="s">
        <v>121</v>
      </c>
      <c r="B16" s="38"/>
      <c r="C16" s="55" t="str">
        <f>IFERROR(VLOOKUP(D2,'Database RMA'!$A$5:$S$1000,18,FALSE),"")</f>
        <v>Mario Tech</v>
      </c>
      <c r="D16" s="37"/>
      <c r="E16" s="37"/>
      <c r="F16" s="37"/>
      <c r="G16" s="37"/>
      <c r="H16" s="37"/>
      <c r="I16" s="38"/>
    </row>
    <row r="17" ht="21.75" customHeight="1"/>
    <row r="18" ht="4.5" customHeight="1">
      <c r="A18" s="54" t="s">
        <v>122</v>
      </c>
      <c r="B18" s="38"/>
      <c r="C18" s="58" t="str">
        <f>IFERROR(VLOOKUP(D2,'Database RMA'!$A$5:$S$1000,2,FALSE),"")</f>
        <v>2026-01-10</v>
      </c>
      <c r="D18" s="37"/>
      <c r="E18" s="38"/>
      <c r="F18" s="54" t="s">
        <v>123</v>
      </c>
      <c r="G18" s="38"/>
      <c r="H18" s="58" t="str">
        <f>IFERROR(VLOOKUP(D2,'Database RMA'!$A$5:$S$1000,15,FALSE),"")</f>
        <v>In riparazione</v>
      </c>
      <c r="I18" s="38"/>
      <c r="K18" s="59"/>
      <c r="L18" s="60"/>
    </row>
    <row r="19" ht="13.5" customHeight="1"/>
    <row r="20" ht="13.5" customHeight="1">
      <c r="A20" s="61" t="s">
        <v>124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"/>
    </row>
    <row r="21" ht="15.75" customHeight="1">
      <c r="A21" s="13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6">
    <mergeCell ref="A20:M20"/>
    <mergeCell ref="A19:M19"/>
    <mergeCell ref="C17:E17"/>
    <mergeCell ref="F17:G17"/>
    <mergeCell ref="H17:I17"/>
    <mergeCell ref="A17:B17"/>
    <mergeCell ref="K17:L17"/>
    <mergeCell ref="A15:B15"/>
    <mergeCell ref="C15:I15"/>
    <mergeCell ref="D2:E2"/>
    <mergeCell ref="A1:M1"/>
    <mergeCell ref="C8:I8"/>
    <mergeCell ref="C10:I10"/>
    <mergeCell ref="A11:B11"/>
    <mergeCell ref="A8:B8"/>
    <mergeCell ref="A10:B10"/>
    <mergeCell ref="A5:E6"/>
    <mergeCell ref="F5:M6"/>
    <mergeCell ref="A4:M4"/>
    <mergeCell ref="B2:C2"/>
    <mergeCell ref="C14:I14"/>
    <mergeCell ref="K8:L8"/>
    <mergeCell ref="A14:B14"/>
    <mergeCell ref="A7:M7"/>
    <mergeCell ref="K10:L10"/>
    <mergeCell ref="C11:I11"/>
  </mergeCells>
  <dataValidations>
    <dataValidation type="list" allowBlank="1" sqref="D2">
      <formula1>'Database RMA'!$A$5:$A$1000</formula1>
    </dataValidation>
  </dataValidations>
  <printOptions/>
  <pageMargins bottom="0.3" footer="0.0" header="0.0" left="0.3" right="0.3" top="0.4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37804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6" width="10.0"/>
    <col customWidth="1" min="7" max="7" width="2.0"/>
    <col customWidth="1" min="8" max="8" width="18.0"/>
    <col customWidth="1" min="9" max="10" width="10.0"/>
    <col customWidth="1" min="11" max="11" width="2.0"/>
    <col customWidth="1" min="12" max="12" width="18.0"/>
    <col customWidth="1" min="13" max="14" width="10.0"/>
    <col customWidth="1" min="15" max="15" width="2.0"/>
    <col customWidth="1" min="16" max="16" width="18.0"/>
    <col customWidth="1" min="17" max="18" width="10.0"/>
    <col customWidth="1" min="19" max="19" width="8.71"/>
  </cols>
  <sheetData>
    <row r="1" ht="37.5" customHeight="1">
      <c r="A1" s="1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5.75" customHeight="1">
      <c r="A2" s="4" t="s">
        <v>127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7.5" customHeight="1"/>
    <row r="4" ht="19.5" customHeight="1">
      <c r="B4" s="62" t="s">
        <v>128</v>
      </c>
      <c r="C4" s="3"/>
      <c r="D4" s="63" t="s">
        <v>129</v>
      </c>
      <c r="E4" s="3"/>
      <c r="F4" s="64" t="s">
        <v>130</v>
      </c>
      <c r="G4" s="3"/>
      <c r="H4" s="65" t="s">
        <v>131</v>
      </c>
      <c r="I4" s="3"/>
      <c r="J4" s="62" t="s">
        <v>132</v>
      </c>
      <c r="K4" s="3"/>
      <c r="L4" s="64" t="s">
        <v>133</v>
      </c>
      <c r="M4" s="3"/>
    </row>
    <row r="5" ht="33.75" customHeight="1">
      <c r="B5" s="66" t="str">
        <f>COUNTA('Database RMA'!A5:A1000)</f>
        <v>5</v>
      </c>
      <c r="C5" s="67"/>
      <c r="D5" s="68" t="str">
        <f>COUNTIF('Database RMA'!O5:O1000,"Aperto")+COUNTIF('Database RMA'!O5:O1000,"In riparazione")+COUNTIF('Database RMA'!O5:O1000,"In attesa parti")</f>
        <v>3</v>
      </c>
      <c r="E5" s="67"/>
      <c r="F5" s="69" t="str">
        <f>COUNTIF('Database RMA'!O5:O1000,"Chiuso")</f>
        <v>1</v>
      </c>
      <c r="G5" s="67"/>
      <c r="H5" s="70" t="str">
        <f>COUNTIF('Database RMA'!N5:N1000,"Alta")</f>
        <v>2</v>
      </c>
      <c r="I5" s="67"/>
      <c r="J5" s="66" t="str">
        <f>COUNTIF('Database RMA'!M5:M1000,"Garanzia")</f>
        <v>2</v>
      </c>
      <c r="K5" s="67"/>
      <c r="L5" s="71" t="str">
        <f>IFERROR(COUNTIF('Database RMA'!O5:O1000,"Chiuso")/COUNTA('Database RMA'!A5:A1000)*100,0)</f>
        <v>20.0%</v>
      </c>
      <c r="M5" s="67"/>
    </row>
    <row r="6" ht="33.75" customHeight="1">
      <c r="B6" s="72"/>
      <c r="C6" s="73"/>
      <c r="D6" s="72"/>
      <c r="E6" s="73"/>
      <c r="F6" s="72"/>
      <c r="G6" s="73"/>
      <c r="H6" s="72"/>
      <c r="I6" s="73"/>
      <c r="J6" s="72"/>
      <c r="K6" s="73"/>
      <c r="L6" s="72"/>
      <c r="M6" s="73"/>
    </row>
    <row r="7" ht="9.75" customHeight="1"/>
    <row r="8" ht="21.75" customHeight="1">
      <c r="B8" s="74" t="s">
        <v>134</v>
      </c>
      <c r="C8" s="2"/>
      <c r="D8" s="2"/>
      <c r="E8" s="2"/>
      <c r="F8" s="3"/>
      <c r="H8" s="74" t="s">
        <v>135</v>
      </c>
      <c r="I8" s="2"/>
      <c r="J8" s="2"/>
      <c r="K8" s="3"/>
      <c r="M8" s="74" t="s">
        <v>136</v>
      </c>
      <c r="N8" s="2"/>
      <c r="O8" s="2"/>
      <c r="P8" s="3"/>
    </row>
    <row r="9" ht="27.75" customHeight="1">
      <c r="B9" s="75" t="s">
        <v>7</v>
      </c>
      <c r="C9" s="75" t="s">
        <v>137</v>
      </c>
      <c r="D9" s="75" t="s">
        <v>138</v>
      </c>
      <c r="E9" s="75" t="s">
        <v>139</v>
      </c>
      <c r="F9" s="75" t="s">
        <v>140</v>
      </c>
      <c r="H9" s="75" t="s">
        <v>141</v>
      </c>
      <c r="I9" s="75" t="s">
        <v>142</v>
      </c>
      <c r="J9" s="75" t="s">
        <v>143</v>
      </c>
      <c r="K9" s="75" t="s">
        <v>144</v>
      </c>
      <c r="M9" s="75" t="s">
        <v>16</v>
      </c>
      <c r="N9" s="75" t="s">
        <v>142</v>
      </c>
      <c r="O9" s="75" t="s">
        <v>143</v>
      </c>
      <c r="P9" s="75" t="s">
        <v>145</v>
      </c>
    </row>
    <row r="10" ht="19.5" customHeight="1">
      <c r="B10" s="76" t="s">
        <v>26</v>
      </c>
      <c r="C10" s="77" t="str">
        <f>COUNTIF('Database RMA'!F5:F1000,B10)</f>
        <v>1</v>
      </c>
      <c r="D10" s="78" t="str">
        <f>SUMPRODUCT(('Database RMA'!F5:F1000=B10)*('Database RMA'!O5:O1000&lt;&gt;"Chiuso")*('Database RMA'!O5:O1000&lt;&gt;""))</f>
        <v>1</v>
      </c>
      <c r="E10" s="79" t="str">
        <f>COUNTIFS('Database RMA'!F5:F1000,B10,'Database RMA'!O5:O1000,"Chiuso")</f>
        <v>0</v>
      </c>
      <c r="F10" s="80" t="str">
        <f t="shared" ref="F10:F14" si="1">IFERROR(E10/C10*100,0)</f>
        <v>0.0%</v>
      </c>
      <c r="H10" s="76" t="s">
        <v>33</v>
      </c>
      <c r="I10" s="77" t="str">
        <f>COUNTIF('Database RMA'!M5:M1000,H10)</f>
        <v>2</v>
      </c>
      <c r="J10" s="80" t="str">
        <f>IFERROR(I10/COUNTA('Database RMA'!A5:A1000)*100,0)</f>
        <v>40.0%</v>
      </c>
      <c r="K10" s="81" t="s">
        <v>146</v>
      </c>
      <c r="M10" s="76" t="s">
        <v>68</v>
      </c>
      <c r="N10" s="77" t="str">
        <f>COUNTIF('Database RMA'!O5:O1000,M10)</f>
        <v>1</v>
      </c>
      <c r="O10" s="80" t="str">
        <f>IFERROR(N10/COUNTA('Database RMA'!A5:A1000)*100,0)</f>
        <v>20.0%</v>
      </c>
      <c r="P10" s="82" t="s">
        <v>147</v>
      </c>
    </row>
    <row r="11" ht="19.5" customHeight="1">
      <c r="B11" s="83" t="s">
        <v>61</v>
      </c>
      <c r="C11" s="84" t="str">
        <f>COUNTIF('Database RMA'!F5:F1000,B11)</f>
        <v>1</v>
      </c>
      <c r="D11" s="85" t="str">
        <f>SUMPRODUCT(('Database RMA'!F5:F1000=B11)*('Database RMA'!O5:O1000&lt;&gt;"Chiuso")*('Database RMA'!O5:O1000&lt;&gt;""))</f>
        <v>1</v>
      </c>
      <c r="E11" s="86" t="str">
        <f>COUNTIFS('Database RMA'!F5:F1000,B11,'Database RMA'!O5:O1000,"Chiuso")</f>
        <v>0</v>
      </c>
      <c r="F11" s="87" t="str">
        <f t="shared" si="1"/>
        <v>0.0%</v>
      </c>
      <c r="H11" s="83" t="s">
        <v>50</v>
      </c>
      <c r="I11" s="84" t="str">
        <f>COUNTIF('Database RMA'!M5:M1000,H11)</f>
        <v>1</v>
      </c>
      <c r="J11" s="87" t="str">
        <f>IFERROR(I11/COUNTA('Database RMA'!A5:A1000)*100,0)</f>
        <v>20.0%</v>
      </c>
      <c r="K11" s="88" t="s">
        <v>146</v>
      </c>
      <c r="M11" s="83" t="s">
        <v>35</v>
      </c>
      <c r="N11" s="84" t="str">
        <f>COUNTIF('Database RMA'!O5:O1000,M11)</f>
        <v>1</v>
      </c>
      <c r="O11" s="87" t="str">
        <f>IFERROR(N11/COUNTA('Database RMA'!A5:A1000)*100,0)</f>
        <v>20.0%</v>
      </c>
      <c r="P11" s="89" t="s">
        <v>147</v>
      </c>
    </row>
    <row r="12" ht="19.5" customHeight="1">
      <c r="B12" s="76" t="s">
        <v>44</v>
      </c>
      <c r="C12" s="77" t="str">
        <f>COUNTIF('Database RMA'!F5:F1000,B12)</f>
        <v>1</v>
      </c>
      <c r="D12" s="78" t="str">
        <f>SUMPRODUCT(('Database RMA'!F5:F1000=B12)*('Database RMA'!O5:O1000&lt;&gt;"Chiuso")*('Database RMA'!O5:O1000&lt;&gt;""))</f>
        <v>0</v>
      </c>
      <c r="E12" s="79" t="str">
        <f>COUNTIFS('Database RMA'!F5:F1000,B12,'Database RMA'!O5:O1000,"Chiuso")</f>
        <v>1</v>
      </c>
      <c r="F12" s="80" t="str">
        <f t="shared" si="1"/>
        <v>100.0%</v>
      </c>
      <c r="H12" s="76" t="s">
        <v>80</v>
      </c>
      <c r="I12" s="77" t="str">
        <f>COUNTIF('Database RMA'!M5:M1000,H12)</f>
        <v>1</v>
      </c>
      <c r="J12" s="80" t="str">
        <f>IFERROR(I12/COUNTA('Database RMA'!A5:A1000)*100,0)</f>
        <v>20.0%</v>
      </c>
      <c r="K12" s="81" t="s">
        <v>146</v>
      </c>
      <c r="M12" s="76" t="s">
        <v>82</v>
      </c>
      <c r="N12" s="77" t="str">
        <f>COUNTIF('Database RMA'!O5:O1000,M12)</f>
        <v>1</v>
      </c>
      <c r="O12" s="80" t="str">
        <f>IFERROR(N12/COUNTA('Database RMA'!A5:A1000)*100,0)</f>
        <v>20.0%</v>
      </c>
      <c r="P12" s="90" t="s">
        <v>147</v>
      </c>
    </row>
    <row r="13" ht="19.5" customHeight="1">
      <c r="B13" s="83" t="s">
        <v>74</v>
      </c>
      <c r="C13" s="84" t="str">
        <f>COUNTIF('Database RMA'!F5:F1000,B13)</f>
        <v>1</v>
      </c>
      <c r="D13" s="85" t="str">
        <f>SUMPRODUCT(('Database RMA'!F5:F1000=B13)*('Database RMA'!O5:O1000&lt;&gt;"Chiuso")*('Database RMA'!O5:O1000&lt;&gt;""))</f>
        <v>1</v>
      </c>
      <c r="E13" s="86" t="str">
        <f>COUNTIFS('Database RMA'!F5:F1000,B13,'Database RMA'!O5:O1000,"Chiuso")</f>
        <v>0</v>
      </c>
      <c r="F13" s="87" t="str">
        <f t="shared" si="1"/>
        <v>0.0%</v>
      </c>
      <c r="H13" s="83" t="s">
        <v>148</v>
      </c>
      <c r="I13" s="84" t="str">
        <f>COUNTIF('Database RMA'!M5:M1000,H13)</f>
        <v>0</v>
      </c>
      <c r="J13" s="87" t="str">
        <f>IFERROR(I13/COUNTA('Database RMA'!A5:A1000)*100,0)</f>
        <v>0.0%</v>
      </c>
      <c r="K13" s="88" t="s">
        <v>146</v>
      </c>
      <c r="M13" s="83" t="s">
        <v>52</v>
      </c>
      <c r="N13" s="84" t="str">
        <f>COUNTIF('Database RMA'!O5:O1000,M13)</f>
        <v>1</v>
      </c>
      <c r="O13" s="87" t="str">
        <f>IFERROR(N13/COUNTA('Database RMA'!A5:A1000)*100,0)</f>
        <v>20.0%</v>
      </c>
      <c r="P13" s="91" t="s">
        <v>147</v>
      </c>
    </row>
    <row r="14" ht="19.5" customHeight="1">
      <c r="B14" s="92" t="s">
        <v>149</v>
      </c>
      <c r="C14" s="92" t="str">
        <f t="shared" ref="C14:E14" si="2">SUM(C10:C13)</f>
        <v>4</v>
      </c>
      <c r="D14" s="92" t="str">
        <f t="shared" si="2"/>
        <v>3</v>
      </c>
      <c r="E14" s="92" t="str">
        <f t="shared" si="2"/>
        <v>1</v>
      </c>
      <c r="F14" s="93" t="str">
        <f t="shared" si="1"/>
        <v>25.0%</v>
      </c>
      <c r="H14" s="92" t="s">
        <v>149</v>
      </c>
      <c r="I14" s="92" t="str">
        <f>SUM(I10:I13)</f>
        <v>4</v>
      </c>
      <c r="J14" s="92" t="s">
        <v>150</v>
      </c>
      <c r="K14" s="94"/>
      <c r="M14" s="76" t="s">
        <v>151</v>
      </c>
      <c r="N14" s="77" t="str">
        <f>COUNTIF('Database RMA'!O5:O1000,M14)</f>
        <v>0</v>
      </c>
      <c r="O14" s="80" t="str">
        <f>IFERROR(N14/COUNTA('Database RMA'!A5:A1000)*100,0)</f>
        <v>0.0%</v>
      </c>
      <c r="P14" s="95" t="s">
        <v>147</v>
      </c>
    </row>
    <row r="15" ht="21.75" customHeight="1">
      <c r="M15" s="92" t="s">
        <v>149</v>
      </c>
      <c r="N15" s="92" t="str">
        <f>SUM(N10:N14)</f>
        <v>4</v>
      </c>
      <c r="O15" s="92" t="s">
        <v>150</v>
      </c>
      <c r="P15" s="94"/>
    </row>
    <row r="17" ht="9.75" customHeight="1"/>
    <row r="18">
      <c r="B18" s="74" t="s">
        <v>152</v>
      </c>
      <c r="C18" s="2"/>
      <c r="D18" s="2"/>
      <c r="E18" s="2"/>
      <c r="F18" s="3"/>
    </row>
    <row r="19">
      <c r="B19" s="75" t="s">
        <v>153</v>
      </c>
      <c r="C19" s="75" t="s">
        <v>2</v>
      </c>
      <c r="D19" s="75" t="s">
        <v>7</v>
      </c>
      <c r="E19" s="75" t="s">
        <v>13</v>
      </c>
      <c r="F19" s="75" t="s">
        <v>16</v>
      </c>
    </row>
    <row r="20" ht="21.75" customHeight="1">
      <c r="B20" s="81">
        <v>1.0</v>
      </c>
      <c r="C20" s="81" t="str">
        <f t="array" ref="C20">IFERROR(INDEX('Database RMA'!A5:A1000,1),"")</f>
        <v>RMA-2026-001</v>
      </c>
      <c r="D20" s="76" t="str">
        <f t="array" ref="D20">IFERROR(INDEX('Database RMA'!F5:F1000,1),"")</f>
        <v>Notebook Dell XPS 15</v>
      </c>
      <c r="E20" s="76" t="str">
        <f t="array" ref="E20">IFERROR(INDEX('Database RMA'!H5:H1000,1),"")</f>
        <v>Computer Portatili</v>
      </c>
      <c r="F20" s="81" t="str">
        <f t="array" ref="F20">IFERROR(INDEX('Database RMA'!O5:O1000,1),"")</f>
        <v>In riparazione</v>
      </c>
    </row>
    <row r="21" ht="21.75" customHeight="1">
      <c r="B21" s="88">
        <v>2.0</v>
      </c>
      <c r="C21" s="88" t="str">
        <f t="array" ref="C21">IFERROR(INDEX('Database RMA'!A5:A1000,2),"")</f>
        <v>RMA-2026-002</v>
      </c>
      <c r="D21" s="83" t="str">
        <f t="array" ref="D21">IFERROR(INDEX('Database RMA'!F5:F1000,2),"")</f>
        <v>Mouse Logitech MX Master 3</v>
      </c>
      <c r="E21" s="83" t="str">
        <f t="array" ref="E21">IFERROR(INDEX('Database RMA'!H5:H1000,2),"")</f>
        <v>Display</v>
      </c>
      <c r="F21" s="88" t="str">
        <f t="array" ref="F21">IFERROR(INDEX('Database RMA'!O5:O1000,2),"")</f>
        <v>Chiuso</v>
      </c>
    </row>
    <row r="22" ht="21.75" customHeight="1">
      <c r="B22" s="81">
        <v>3.0</v>
      </c>
      <c r="C22" s="81" t="str">
        <f t="array" ref="C22">IFERROR(INDEX('Database RMA'!A5:A1000,3),"")</f>
        <v>RMA-2026-003</v>
      </c>
      <c r="D22" s="76" t="str">
        <f t="array" ref="D22">IFERROR(INDEX('Database RMA'!F5:F1000,3),"")</f>
        <v>Monitor LG 27" 4K</v>
      </c>
      <c r="E22" s="76" t="str">
        <f t="array" ref="E22">IFERROR(INDEX('Database RMA'!H5:H1000,3),"")</f>
        <v>Input Devices</v>
      </c>
      <c r="F22" s="81" t="str">
        <f t="array" ref="F22">IFERROR(INDEX('Database RMA'!O5:O1000,3),"")</f>
        <v>Aperto</v>
      </c>
    </row>
    <row r="23" ht="21.75" customHeight="1">
      <c r="B23" s="88">
        <v>4.0</v>
      </c>
      <c r="C23" s="88" t="str">
        <f t="array" ref="C23">IFERROR(INDEX('Database RMA'!A5:A1000,4),"")</f>
        <v>RMA-2026-004</v>
      </c>
      <c r="D23" s="83" t="str">
        <f t="array" ref="D23">IFERROR(INDEX('Database RMA'!F5:F1000,4),"")</f>
        <v>Stampante HP LaserJet</v>
      </c>
      <c r="E23" s="83" t="str">
        <f t="array" ref="E23">IFERROR(INDEX('Database RMA'!H5:H1000,4),"")</f>
        <v>Stampa</v>
      </c>
      <c r="F23" s="88" t="str">
        <f t="array" ref="F23">IFERROR(INDEX('Database RMA'!O5:O1000,4),"")</f>
        <v>In attesa parti</v>
      </c>
    </row>
    <row r="24" ht="21.75" customHeight="1">
      <c r="B24" s="81">
        <v>5.0</v>
      </c>
      <c r="C24" s="81" t="str">
        <f t="array" ref="C24">IFERROR(INDEX('Database RMA'!A5:A1000,5),"")</f>
        <v/>
      </c>
      <c r="D24" s="76" t="str">
        <f t="array" ref="D24">IFERROR(INDEX('Database RMA'!F5:F1000,5),"")</f>
        <v/>
      </c>
      <c r="E24" s="76" t="str">
        <f t="array" ref="E24">IFERROR(INDEX('Database RMA'!H5:H1000,5),"")</f>
        <v/>
      </c>
      <c r="F24" s="81" t="str">
        <f t="array" ref="F24">IFERROR(INDEX('Database RMA'!O5:O1000,5),"")</f>
        <v/>
      </c>
    </row>
    <row r="25" ht="21.75" customHeight="1">
      <c r="B25" s="88">
        <v>6.0</v>
      </c>
      <c r="C25" s="88" t="str">
        <f t="array" ref="C25">IFERROR(INDEX('Database RMA'!A5:A1000,6),"")</f>
        <v>ISTRUZIONI: Inserisci nuove righe dal riga 5 in giù • Il Modulo e l'Etichetta si aggiornano scegliendo il N° RMA nel foglio corrispondente</v>
      </c>
      <c r="D25" s="83" t="str">
        <f t="array" ref="D25">IFERROR(INDEX('Database RMA'!F5:F1000,6),"")</f>
        <v/>
      </c>
      <c r="E25" s="83" t="str">
        <f t="array" ref="E25">IFERROR(INDEX('Database RMA'!H5:H1000,6),"")</f>
        <v/>
      </c>
      <c r="F25" s="88" t="str">
        <f t="array" ref="F25">IFERROR(INDEX('Database RMA'!O5:O1000,6),"")</f>
        <v/>
      </c>
    </row>
    <row r="26" ht="15.75" customHeight="1"/>
    <row r="27" ht="15.75" customHeight="1"/>
    <row r="28" ht="15.75" customHeight="1"/>
    <row r="29" ht="7.5" customHeight="1"/>
    <row r="30" ht="15.75" customHeight="1">
      <c r="B30" s="96" t="s">
        <v>154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9">
    <mergeCell ref="H4:I4"/>
    <mergeCell ref="H5:I6"/>
    <mergeCell ref="D5:E6"/>
    <mergeCell ref="J5:K6"/>
    <mergeCell ref="F5:G6"/>
    <mergeCell ref="J4:K4"/>
    <mergeCell ref="L4:M4"/>
    <mergeCell ref="B18:F18"/>
    <mergeCell ref="B30:R30"/>
    <mergeCell ref="M8:P8"/>
    <mergeCell ref="L5:M6"/>
    <mergeCell ref="F4:G4"/>
    <mergeCell ref="H8:K8"/>
    <mergeCell ref="A2:R2"/>
    <mergeCell ref="B5:C6"/>
    <mergeCell ref="B8:F8"/>
    <mergeCell ref="D4:E4"/>
    <mergeCell ref="A1:R1"/>
    <mergeCell ref="B4:C4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2026-05-26T16:58:44Z</dcterms:created>
  <dc:creator>openpyxl</dc:creator>
  <dcterms:modified xsi:type="dcterms:W3CDTF">2026-05-26T19:31:26Z</dcterms:modified>
</cp:coreProperties>
</file>